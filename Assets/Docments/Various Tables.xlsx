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nity\Space Combat\Assets\Docments\"/>
    </mc:Choice>
  </mc:AlternateContent>
  <xr:revisionPtr revIDLastSave="0" documentId="13_ncr:1_{89CA7D4B-7781-48F7-8501-5BDF52CDE73D}" xr6:coauthVersionLast="47" xr6:coauthVersionMax="47" xr10:uidLastSave="{00000000-0000-0000-0000-000000000000}"/>
  <bookViews>
    <workbookView xWindow="-60" yWindow="-16320" windowWidth="29040" windowHeight="15720" activeTab="3" xr2:uid="{AA13B329-E6C6-4D98-86A4-0B5567153B89}"/>
  </bookViews>
  <sheets>
    <sheet name="Input Bindings" sheetId="1" r:id="rId1"/>
    <sheet name="Enemy Stats" sheetId="2" r:id="rId2"/>
    <sheet name="Player Stats" sheetId="3" r:id="rId3"/>
    <sheet name="Weapons" sheetId="7" r:id="rId4"/>
    <sheet name="Obstacles-Resupply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" i="6" l="1"/>
  <c r="C14" i="6"/>
  <c r="B14" i="6"/>
</calcChain>
</file>

<file path=xl/sharedStrings.xml><?xml version="1.0" encoding="utf-8"?>
<sst xmlns="http://schemas.openxmlformats.org/spreadsheetml/2006/main" count="240" uniqueCount="175">
  <si>
    <t>Keyboard</t>
  </si>
  <si>
    <t>Controller</t>
  </si>
  <si>
    <t>Mouse</t>
  </si>
  <si>
    <t>Keyboard/Mouse</t>
  </si>
  <si>
    <t>Mode</t>
  </si>
  <si>
    <t>Action</t>
  </si>
  <si>
    <t>UI</t>
  </si>
  <si>
    <t>Move</t>
  </si>
  <si>
    <t>Adjust/Change</t>
  </si>
  <si>
    <t>Gameplay</t>
  </si>
  <si>
    <t>Fire Energy</t>
  </si>
  <si>
    <t>Fire Missile</t>
  </si>
  <si>
    <t>WSAD/Arrow Keys</t>
  </si>
  <si>
    <t>Left Stick</t>
  </si>
  <si>
    <t>Space Bar</t>
  </si>
  <si>
    <t>Right Trigger</t>
  </si>
  <si>
    <t>R or L Shift</t>
  </si>
  <si>
    <t>Left Trigger</t>
  </si>
  <si>
    <t>Exit to menu</t>
  </si>
  <si>
    <t>Esc</t>
  </si>
  <si>
    <t>Start Button</t>
  </si>
  <si>
    <t>Mouse Left Button</t>
  </si>
  <si>
    <t>South</t>
  </si>
  <si>
    <t>Select/Unselect</t>
  </si>
  <si>
    <t>Dpad</t>
  </si>
  <si>
    <t>Ship Type</t>
  </si>
  <si>
    <t>Speed</t>
  </si>
  <si>
    <t>Health</t>
  </si>
  <si>
    <t>Weapon Damage</t>
  </si>
  <si>
    <t>Single, slow, straight-firing shot.  Low HP</t>
  </si>
  <si>
    <t>Grunt/Fighter</t>
  </si>
  <si>
    <t>Skirmisher/Flanker</t>
  </si>
  <si>
    <t>Bomber/Kamikaze</t>
  </si>
  <si>
    <t>Threat</t>
  </si>
  <si>
    <t>Capability</t>
  </si>
  <si>
    <t>Single, faster-moving shot.  Higher speed than the Grunt.</t>
  </si>
  <si>
    <t>No projectile weapons.  Self-destructs when getting close to the player.</t>
  </si>
  <si>
    <t>They appear in straight lines and simple formations (e.g. V-shapes).  The threat is from their sheer number</t>
  </si>
  <si>
    <t>The enter from the sides of the screen and used curved or diagonal paths to flank the player's position, forcing side-to-side movement.</t>
  </si>
  <si>
    <t>They are generally slow but have high HP.  The force the player to prioritize targets and destroy them before they get too close.</t>
  </si>
  <si>
    <t>Sentinel/Shield Ship</t>
  </si>
  <si>
    <t>Destroyer (Boss Battle)</t>
  </si>
  <si>
    <t>High HP, protected by a front-facing shield that deflects player shots.</t>
  </si>
  <si>
    <t>Forces player to maneuver behind them or use special weapons.  Often appears in front of Grunts, acting as a screen.</t>
  </si>
  <si>
    <t>Spread Shooter</t>
  </si>
  <si>
    <t>Fires multiple, low-damage projectiles in a wide, fixed arc (e.g. 3 or 5-way shot.  Medium speed.</t>
  </si>
  <si>
    <t>Creates "walls" of bullets that require precise micro-dodging within the gaps, covering a large area of the screen.</t>
  </si>
  <si>
    <t>Minelayer/Spawner</t>
  </si>
  <si>
    <t>Drops stationary, persistent hazards, (mines, bubbles) or launches small, fragile mini-drones.</t>
  </si>
  <si>
    <t>Fabricator (Boss Battle)</t>
  </si>
  <si>
    <t>Predator/Tracker</t>
  </si>
  <si>
    <t>Fires a slow homing missile or bullet with a slight turning radius.</t>
  </si>
  <si>
    <t>Punishes slow or stationary play.  Forces the player to constantly be on the move and often lead the missile into an obstacle or another enemy.</t>
  </si>
  <si>
    <t>Pulsar/Ring Shooter</t>
  </si>
  <si>
    <t>Fires a dense ring of bullets, (omnidirectional), when it is destroyed or at set intervals.</t>
  </si>
  <si>
    <t>Requires the player to calculate the exact timing or positioning to destroy it without being caught in the ensuing ring pattern.  High survivability.</t>
  </si>
  <si>
    <t>Extremely difficult to target, breaks up attack patterns and forces the player to react instantly to its new location and fire.</t>
  </si>
  <si>
    <t>Dreadnought/Elite</t>
  </si>
  <si>
    <t>A mini-boss that appears multiple times during the level.  It combines the capabilities of two Tier 3 ships (e.g. Shielded Pulsar)</t>
  </si>
  <si>
    <t>Acts as a major hurdle to the final boss.  Its destruction should be dramatic and high rewarding (e.g. a huge resource drop)</t>
  </si>
  <si>
    <t>Sovereign (Boss Battle)</t>
  </si>
  <si>
    <t>Multi-phase boss fight combining dense bullet patterns, destructible/regenerating parts, and a final desperation attack.</t>
  </si>
  <si>
    <t>30 (3x)</t>
  </si>
  <si>
    <t>5 (Mine Proximity)</t>
  </si>
  <si>
    <t>45 (Homing)</t>
  </si>
  <si>
    <t>20 (Ring explosion)</t>
  </si>
  <si>
    <t>65+</t>
  </si>
  <si>
    <t>Interceptor/Cloaker</t>
  </si>
  <si>
    <t>High speed.  Briefly cloaks and moves to a new, random, or pre-set position near the player every few seconds.</t>
  </si>
  <si>
    <t>Spawn Weight</t>
  </si>
  <si>
    <t>1 - 5</t>
  </si>
  <si>
    <t>6 - 9</t>
  </si>
  <si>
    <t>10</t>
  </si>
  <si>
    <t>N/A</t>
  </si>
  <si>
    <t>Large target with 2-3 main cannons firing slow, chunky bullets.  Simple circular movement pattern.</t>
  </si>
  <si>
    <t>Introduces environmental clutter and forces the player to manage the battlefield as the hazards remain after the ship is destroyed.</t>
  </si>
  <si>
    <t>Can transition between a firing phase and a spawning phase, releasing waves of Minelayers, Predators, Pulsars, and Interceptors.</t>
  </si>
  <si>
    <t>Level</t>
  </si>
  <si>
    <t>Name</t>
  </si>
  <si>
    <t>Turn Speed</t>
  </si>
  <si>
    <t>Damage</t>
  </si>
  <si>
    <t>Special Capability</t>
  </si>
  <si>
    <t>Pulse Burst II</t>
  </si>
  <si>
    <t>Seeker I</t>
  </si>
  <si>
    <t>Seeker II</t>
  </si>
  <si>
    <t>Talon I</t>
  </si>
  <si>
    <t>Talon II</t>
  </si>
  <si>
    <t>Pulse Burst III</t>
  </si>
  <si>
    <t>Stalker</t>
  </si>
  <si>
    <t>Phantom</t>
  </si>
  <si>
    <t>Oblivion</t>
  </si>
  <si>
    <t>Area of Effect, Homing, Max Damage</t>
  </si>
  <si>
    <t>Level 1-5</t>
  </si>
  <si>
    <t>Level 6-9</t>
  </si>
  <si>
    <t>Level 10</t>
  </si>
  <si>
    <t>HP</t>
  </si>
  <si>
    <t>Asteroid Field</t>
  </si>
  <si>
    <t>Destructible</t>
  </si>
  <si>
    <t>Large Debris</t>
  </si>
  <si>
    <t>Gravimetric Anchor</t>
  </si>
  <si>
    <t>Periodically emits a short, high-damage area of effect</t>
  </si>
  <si>
    <t>Quasar</t>
  </si>
  <si>
    <t>Void Gate</t>
  </si>
  <si>
    <t>Instantly moves anyone passing through it to a random location</t>
  </si>
  <si>
    <t>Slow everyone down by 50% in area of effect.</t>
  </si>
  <si>
    <t>Gas Cloud</t>
  </si>
  <si>
    <t>Black Hole</t>
  </si>
  <si>
    <t>Actively pulls everyone towards its center</t>
  </si>
  <si>
    <t>Nebula</t>
  </si>
  <si>
    <t>Applies a persistent visual distortion or fog over the area of effect. (Difficult to see anything)</t>
  </si>
  <si>
    <t>Point Value</t>
  </si>
  <si>
    <t>Reduces everyone's fire rate by 50% while in area of effect</t>
  </si>
  <si>
    <t>Shield Boost</t>
  </si>
  <si>
    <t>Armor Boost</t>
  </si>
  <si>
    <t>Add 20 points to shields - (up to Max)</t>
  </si>
  <si>
    <t>Add 20 points to armor - (up to Max)</t>
  </si>
  <si>
    <t>Total Weight</t>
  </si>
  <si>
    <t>Mine Field</t>
  </si>
  <si>
    <t>10 points damage if hit. Destructible</t>
  </si>
  <si>
    <t>Homing</t>
  </si>
  <si>
    <t>Secondary Weapons</t>
  </si>
  <si>
    <t>Unguided</t>
  </si>
  <si>
    <t>Primary Weapons</t>
  </si>
  <si>
    <t>Primary Weapon Fire Rate (per second)</t>
  </si>
  <si>
    <t>Primary Weapon Max Ammo</t>
  </si>
  <si>
    <t>Primary Weapon Number of Stations</t>
  </si>
  <si>
    <t>Secondary Weapon Fire Rate (per second)</t>
  </si>
  <si>
    <t>Secondary Weapon Max Ammo</t>
  </si>
  <si>
    <t>Secondary Weapon Number of Stations</t>
  </si>
  <si>
    <t>Rotation Speed</t>
  </si>
  <si>
    <t>Shield Regeneration Rate</t>
  </si>
  <si>
    <t>Shield Max</t>
  </si>
  <si>
    <t>Armor Max</t>
  </si>
  <si>
    <t>Armor Regeneration Rate</t>
  </si>
  <si>
    <t>Primary Weapon Regeneration Rate</t>
  </si>
  <si>
    <t>Secondary Weapon Regeneration Rate</t>
  </si>
  <si>
    <t>Homing/Area of Effect</t>
  </si>
  <si>
    <t>Homing/Piercing</t>
  </si>
  <si>
    <t>Lance I</t>
  </si>
  <si>
    <t>Lance II</t>
  </si>
  <si>
    <t>Lance III</t>
  </si>
  <si>
    <t>Viper I</t>
  </si>
  <si>
    <t>Viper II</t>
  </si>
  <si>
    <t>Viper III</t>
  </si>
  <si>
    <t>Hammer I</t>
  </si>
  <si>
    <t>Hammer II</t>
  </si>
  <si>
    <t>Hammer III</t>
  </si>
  <si>
    <t>Hammer IV</t>
  </si>
  <si>
    <t>Space Fighter 15</t>
  </si>
  <si>
    <t>Space Fighter 18</t>
  </si>
  <si>
    <t>Space Fighter 24</t>
  </si>
  <si>
    <t>Space Fighter 21</t>
  </si>
  <si>
    <t>Space Fighter 27</t>
  </si>
  <si>
    <t>Space Fighter 22</t>
  </si>
  <si>
    <t>Space Fighter 08</t>
  </si>
  <si>
    <t>Space Fighter 23</t>
  </si>
  <si>
    <t>Space Fighter 11</t>
  </si>
  <si>
    <t>Space Dreadnought 01</t>
  </si>
  <si>
    <t>Space Dreadnought 02</t>
  </si>
  <si>
    <t>Space Dreadnought 08</t>
  </si>
  <si>
    <t>Space Dreadnought 03</t>
  </si>
  <si>
    <t>Asteroids</t>
  </si>
  <si>
    <t>Debris 01_04</t>
  </si>
  <si>
    <t>Scifi Shield Generator</t>
  </si>
  <si>
    <t>Scifi Drone 04</t>
  </si>
  <si>
    <t>Scifi Container 08</t>
  </si>
  <si>
    <t>Green Cloud</t>
  </si>
  <si>
    <t>Blue Cloud</t>
  </si>
  <si>
    <t>3D Black Hole Shader</t>
  </si>
  <si>
    <t>Breakable Asteroids</t>
  </si>
  <si>
    <t>Gas Cloud (VFX)</t>
  </si>
  <si>
    <t>Nebula (VFX)</t>
  </si>
  <si>
    <t>Lifetime</t>
  </si>
  <si>
    <t>Points Needed</t>
  </si>
  <si>
    <t>Pulse Burst 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</si>
</sst>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0" fillId="0" borderId="1" xfId="0" applyBorder="1"/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wrapText="1"/>
    </xf>
    <xf numFmtId="49" fontId="0" fillId="0" borderId="1" xfId="0" applyNumberForma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2" fillId="0" borderId="0" xfId="0" applyFont="1" applyAlignment="1">
      <alignment horizont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914E2-ABB0-445C-A881-1A074332220C}">
  <dimension ref="A1:D9"/>
  <sheetViews>
    <sheetView workbookViewId="0">
      <selection activeCell="D9" sqref="A1:D9"/>
    </sheetView>
  </sheetViews>
  <sheetFormatPr defaultRowHeight="15.75" x14ac:dyDescent="0.25"/>
  <cols>
    <col min="1" max="1" width="11.140625" style="2" customWidth="1"/>
    <col min="2" max="2" width="16.42578125" customWidth="1"/>
    <col min="3" max="3" width="18.7109375" customWidth="1"/>
    <col min="4" max="4" width="13.7109375" customWidth="1"/>
    <col min="5" max="5" width="12" customWidth="1"/>
  </cols>
  <sheetData>
    <row r="1" spans="1:4" s="1" customFormat="1" x14ac:dyDescent="0.25">
      <c r="A1" s="3" t="s">
        <v>4</v>
      </c>
      <c r="B1" s="3" t="s">
        <v>5</v>
      </c>
      <c r="C1" s="3" t="s">
        <v>3</v>
      </c>
      <c r="D1" s="3" t="s">
        <v>1</v>
      </c>
    </row>
    <row r="2" spans="1:4" x14ac:dyDescent="0.25">
      <c r="A2" s="4" t="s">
        <v>6</v>
      </c>
      <c r="B2" s="5" t="s">
        <v>7</v>
      </c>
      <c r="C2" s="5" t="s">
        <v>2</v>
      </c>
      <c r="D2" s="5" t="s">
        <v>13</v>
      </c>
    </row>
    <row r="3" spans="1:4" x14ac:dyDescent="0.25">
      <c r="A3" s="4"/>
      <c r="B3" s="5" t="s">
        <v>23</v>
      </c>
      <c r="C3" s="5" t="s">
        <v>21</v>
      </c>
      <c r="D3" s="5" t="s">
        <v>22</v>
      </c>
    </row>
    <row r="4" spans="1:4" x14ac:dyDescent="0.25">
      <c r="A4" s="4"/>
      <c r="B4" s="5" t="s">
        <v>8</v>
      </c>
      <c r="C4" s="5" t="s">
        <v>0</v>
      </c>
      <c r="D4" s="5" t="s">
        <v>24</v>
      </c>
    </row>
    <row r="5" spans="1:4" x14ac:dyDescent="0.25">
      <c r="A5" s="4"/>
      <c r="B5" s="5"/>
      <c r="C5" s="5"/>
      <c r="D5" s="5"/>
    </row>
    <row r="6" spans="1:4" x14ac:dyDescent="0.25">
      <c r="A6" s="4" t="s">
        <v>9</v>
      </c>
      <c r="B6" s="5" t="s">
        <v>7</v>
      </c>
      <c r="C6" s="5" t="s">
        <v>12</v>
      </c>
      <c r="D6" s="5" t="s">
        <v>13</v>
      </c>
    </row>
    <row r="7" spans="1:4" x14ac:dyDescent="0.25">
      <c r="A7" s="4"/>
      <c r="B7" s="5" t="s">
        <v>10</v>
      </c>
      <c r="C7" s="5" t="s">
        <v>14</v>
      </c>
      <c r="D7" s="5" t="s">
        <v>15</v>
      </c>
    </row>
    <row r="8" spans="1:4" x14ac:dyDescent="0.25">
      <c r="A8" s="4"/>
      <c r="B8" s="5" t="s">
        <v>11</v>
      </c>
      <c r="C8" s="5" t="s">
        <v>16</v>
      </c>
      <c r="D8" s="5" t="s">
        <v>17</v>
      </c>
    </row>
    <row r="9" spans="1:4" x14ac:dyDescent="0.25">
      <c r="A9" s="4"/>
      <c r="B9" s="5" t="s">
        <v>18</v>
      </c>
      <c r="C9" s="5" t="s">
        <v>19</v>
      </c>
      <c r="D9" s="5" t="s">
        <v>20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F13FB-0913-458D-A7A4-20A664EC0491}">
  <dimension ref="A1:M15"/>
  <sheetViews>
    <sheetView workbookViewId="0">
      <selection activeCell="L9" sqref="L9"/>
    </sheetView>
  </sheetViews>
  <sheetFormatPr defaultColWidth="18.28515625" defaultRowHeight="15" x14ac:dyDescent="0.25"/>
  <cols>
    <col min="1" max="1" width="18.7109375" style="6" customWidth="1"/>
    <col min="2" max="2" width="6.7109375" style="7" customWidth="1"/>
    <col min="3" max="4" width="26" style="6" customWidth="1"/>
    <col min="5" max="6" width="6.5703125" style="7" customWidth="1"/>
    <col min="7" max="7" width="7.42578125" style="7" customWidth="1"/>
    <col min="8" max="8" width="10.42578125" style="7" customWidth="1"/>
    <col min="9" max="9" width="8" style="7" customWidth="1"/>
    <col min="10" max="10" width="7.5703125" style="7" customWidth="1"/>
    <col min="11" max="11" width="7.140625" style="7" customWidth="1"/>
    <col min="12" max="12" width="6.42578125" style="6" customWidth="1"/>
    <col min="13" max="16384" width="18.28515625" style="6"/>
  </cols>
  <sheetData>
    <row r="1" spans="1:13" x14ac:dyDescent="0.25">
      <c r="A1" s="15" t="s">
        <v>25</v>
      </c>
      <c r="B1" s="16" t="s">
        <v>77</v>
      </c>
      <c r="C1" s="15" t="s">
        <v>34</v>
      </c>
      <c r="D1" s="15" t="s">
        <v>33</v>
      </c>
      <c r="E1" s="16" t="s">
        <v>26</v>
      </c>
      <c r="F1" s="17" t="s">
        <v>79</v>
      </c>
      <c r="G1" s="16" t="s">
        <v>27</v>
      </c>
      <c r="H1" s="16" t="s">
        <v>28</v>
      </c>
      <c r="I1" s="16" t="s">
        <v>69</v>
      </c>
      <c r="J1" s="16"/>
      <c r="K1" s="16"/>
      <c r="L1" s="15" t="s">
        <v>110</v>
      </c>
    </row>
    <row r="2" spans="1:13" x14ac:dyDescent="0.25">
      <c r="A2" s="15"/>
      <c r="B2" s="16"/>
      <c r="C2" s="15"/>
      <c r="D2" s="15"/>
      <c r="E2" s="16"/>
      <c r="F2" s="18"/>
      <c r="G2" s="16"/>
      <c r="H2" s="16"/>
      <c r="I2" s="10" t="s">
        <v>70</v>
      </c>
      <c r="J2" s="10" t="s">
        <v>71</v>
      </c>
      <c r="K2" s="10" t="s">
        <v>72</v>
      </c>
      <c r="L2" s="15"/>
    </row>
    <row r="3" spans="1:13" ht="75" x14ac:dyDescent="0.25">
      <c r="A3" s="8" t="s">
        <v>30</v>
      </c>
      <c r="B3" s="9">
        <v>1</v>
      </c>
      <c r="C3" s="8" t="s">
        <v>29</v>
      </c>
      <c r="D3" s="8" t="s">
        <v>37</v>
      </c>
      <c r="E3" s="9">
        <v>25</v>
      </c>
      <c r="F3" s="9"/>
      <c r="G3" s="9">
        <v>10</v>
      </c>
      <c r="H3" s="9">
        <v>10</v>
      </c>
      <c r="I3" s="9">
        <v>100</v>
      </c>
      <c r="J3" s="9">
        <v>45</v>
      </c>
      <c r="K3" s="9">
        <v>30</v>
      </c>
      <c r="L3" s="8">
        <v>10</v>
      </c>
      <c r="M3" s="6" t="s">
        <v>149</v>
      </c>
    </row>
    <row r="4" spans="1:13" ht="90" x14ac:dyDescent="0.25">
      <c r="A4" s="8" t="s">
        <v>31</v>
      </c>
      <c r="B4" s="9">
        <v>2</v>
      </c>
      <c r="C4" s="8" t="s">
        <v>35</v>
      </c>
      <c r="D4" s="8" t="s">
        <v>38</v>
      </c>
      <c r="E4" s="9">
        <v>50</v>
      </c>
      <c r="F4" s="9"/>
      <c r="G4" s="9">
        <v>15</v>
      </c>
      <c r="H4" s="9">
        <v>15</v>
      </c>
      <c r="I4" s="9">
        <v>50</v>
      </c>
      <c r="J4" s="9">
        <v>60</v>
      </c>
      <c r="K4" s="9">
        <v>50</v>
      </c>
      <c r="L4" s="8">
        <v>25</v>
      </c>
      <c r="M4" s="6" t="s">
        <v>150</v>
      </c>
    </row>
    <row r="5" spans="1:13" ht="75" x14ac:dyDescent="0.25">
      <c r="A5" s="8" t="s">
        <v>32</v>
      </c>
      <c r="B5" s="9">
        <v>3</v>
      </c>
      <c r="C5" s="8" t="s">
        <v>36</v>
      </c>
      <c r="D5" s="8" t="s">
        <v>39</v>
      </c>
      <c r="E5" s="9">
        <v>15</v>
      </c>
      <c r="F5" s="9"/>
      <c r="G5" s="9">
        <v>40</v>
      </c>
      <c r="H5" s="9">
        <v>90</v>
      </c>
      <c r="I5" s="9">
        <v>20</v>
      </c>
      <c r="J5" s="9">
        <v>35</v>
      </c>
      <c r="K5" s="9">
        <v>40</v>
      </c>
      <c r="L5" s="8">
        <v>100</v>
      </c>
      <c r="M5" s="6" t="s">
        <v>148</v>
      </c>
    </row>
    <row r="6" spans="1:13" ht="75" x14ac:dyDescent="0.25">
      <c r="A6" s="8" t="s">
        <v>40</v>
      </c>
      <c r="B6" s="9">
        <v>4</v>
      </c>
      <c r="C6" s="8" t="s">
        <v>42</v>
      </c>
      <c r="D6" s="8" t="s">
        <v>43</v>
      </c>
      <c r="E6" s="9">
        <v>20</v>
      </c>
      <c r="F6" s="9"/>
      <c r="G6" s="9">
        <v>55</v>
      </c>
      <c r="H6" s="9">
        <v>10</v>
      </c>
      <c r="I6" s="9" t="s">
        <v>73</v>
      </c>
      <c r="J6" s="9">
        <v>40</v>
      </c>
      <c r="K6" s="9">
        <v>30</v>
      </c>
      <c r="L6" s="8">
        <v>200</v>
      </c>
      <c r="M6" s="6" t="s">
        <v>151</v>
      </c>
    </row>
    <row r="7" spans="1:13" ht="75" x14ac:dyDescent="0.25">
      <c r="A7" s="8" t="s">
        <v>44</v>
      </c>
      <c r="B7" s="9">
        <v>5</v>
      </c>
      <c r="C7" s="8" t="s">
        <v>45</v>
      </c>
      <c r="D7" s="8" t="s">
        <v>46</v>
      </c>
      <c r="E7" s="9">
        <v>30</v>
      </c>
      <c r="F7" s="9"/>
      <c r="G7" s="9">
        <v>20</v>
      </c>
      <c r="H7" s="9" t="s">
        <v>62</v>
      </c>
      <c r="I7" s="9" t="s">
        <v>73</v>
      </c>
      <c r="J7" s="9">
        <v>50</v>
      </c>
      <c r="K7" s="9">
        <v>70</v>
      </c>
      <c r="L7" s="8">
        <v>150</v>
      </c>
      <c r="M7" s="6" t="s">
        <v>156</v>
      </c>
    </row>
    <row r="8" spans="1:13" ht="60" x14ac:dyDescent="0.25">
      <c r="A8" s="8" t="s">
        <v>41</v>
      </c>
      <c r="B8" s="9">
        <v>5</v>
      </c>
      <c r="C8" s="8" t="s">
        <v>74</v>
      </c>
      <c r="D8" s="8"/>
      <c r="E8" s="9">
        <v>10</v>
      </c>
      <c r="F8" s="9"/>
      <c r="G8" s="9">
        <v>70</v>
      </c>
      <c r="H8" s="9">
        <v>25</v>
      </c>
      <c r="I8" s="9" t="s">
        <v>73</v>
      </c>
      <c r="J8" s="9" t="s">
        <v>73</v>
      </c>
      <c r="K8" s="9" t="s">
        <v>73</v>
      </c>
      <c r="L8" s="8">
        <v>500</v>
      </c>
      <c r="M8" s="6" t="s">
        <v>158</v>
      </c>
    </row>
    <row r="9" spans="1:13" ht="75" x14ac:dyDescent="0.25">
      <c r="A9" s="8" t="s">
        <v>47</v>
      </c>
      <c r="B9" s="9">
        <v>6</v>
      </c>
      <c r="C9" s="8" t="s">
        <v>48</v>
      </c>
      <c r="D9" s="8" t="s">
        <v>75</v>
      </c>
      <c r="E9" s="9">
        <v>40</v>
      </c>
      <c r="F9" s="9"/>
      <c r="G9" s="9">
        <v>35</v>
      </c>
      <c r="H9" s="9" t="s">
        <v>63</v>
      </c>
      <c r="I9" s="9" t="s">
        <v>73</v>
      </c>
      <c r="J9" s="9">
        <v>25</v>
      </c>
      <c r="K9" s="9">
        <v>35</v>
      </c>
      <c r="L9" s="8">
        <v>300</v>
      </c>
      <c r="M9" s="6" t="s">
        <v>153</v>
      </c>
    </row>
    <row r="10" spans="1:13" ht="90" x14ac:dyDescent="0.25">
      <c r="A10" s="8" t="s">
        <v>50</v>
      </c>
      <c r="B10" s="9">
        <v>7</v>
      </c>
      <c r="C10" s="8" t="s">
        <v>51</v>
      </c>
      <c r="D10" s="8" t="s">
        <v>52</v>
      </c>
      <c r="E10" s="9">
        <v>45</v>
      </c>
      <c r="F10" s="9"/>
      <c r="G10" s="9">
        <v>30</v>
      </c>
      <c r="H10" s="9" t="s">
        <v>64</v>
      </c>
      <c r="I10" s="9" t="s">
        <v>73</v>
      </c>
      <c r="J10" s="9">
        <v>40</v>
      </c>
      <c r="K10" s="9">
        <v>45</v>
      </c>
      <c r="L10" s="8">
        <v>400</v>
      </c>
      <c r="M10" s="6" t="s">
        <v>155</v>
      </c>
    </row>
    <row r="11" spans="1:13" ht="90" x14ac:dyDescent="0.25">
      <c r="A11" s="8" t="s">
        <v>53</v>
      </c>
      <c r="B11" s="9">
        <v>8</v>
      </c>
      <c r="C11" s="8" t="s">
        <v>54</v>
      </c>
      <c r="D11" s="8" t="s">
        <v>55</v>
      </c>
      <c r="E11" s="9">
        <v>20</v>
      </c>
      <c r="F11" s="9"/>
      <c r="G11" s="9">
        <v>50</v>
      </c>
      <c r="H11" s="9" t="s">
        <v>65</v>
      </c>
      <c r="I11" s="9" t="s">
        <v>73</v>
      </c>
      <c r="J11" s="9">
        <v>20</v>
      </c>
      <c r="K11" s="9">
        <v>30</v>
      </c>
      <c r="L11" s="8">
        <v>500</v>
      </c>
      <c r="M11" s="6" t="s">
        <v>152</v>
      </c>
    </row>
    <row r="12" spans="1:13" ht="75" x14ac:dyDescent="0.25">
      <c r="A12" s="8" t="s">
        <v>67</v>
      </c>
      <c r="B12" s="9">
        <v>9</v>
      </c>
      <c r="C12" s="8" t="s">
        <v>68</v>
      </c>
      <c r="D12" s="8" t="s">
        <v>56</v>
      </c>
      <c r="E12" s="9">
        <v>75</v>
      </c>
      <c r="F12" s="9"/>
      <c r="G12" s="9">
        <v>25</v>
      </c>
      <c r="H12" s="9">
        <v>35</v>
      </c>
      <c r="I12" s="9" t="s">
        <v>73</v>
      </c>
      <c r="J12" s="9">
        <v>10</v>
      </c>
      <c r="K12" s="9">
        <v>20</v>
      </c>
      <c r="L12" s="8">
        <v>750</v>
      </c>
      <c r="M12" s="6" t="s">
        <v>154</v>
      </c>
    </row>
    <row r="13" spans="1:13" ht="90" x14ac:dyDescent="0.25">
      <c r="A13" s="8" t="s">
        <v>49</v>
      </c>
      <c r="B13" s="9">
        <v>9</v>
      </c>
      <c r="C13" s="8" t="s">
        <v>76</v>
      </c>
      <c r="D13" s="8"/>
      <c r="E13" s="9">
        <v>15</v>
      </c>
      <c r="F13" s="9"/>
      <c r="G13" s="9">
        <v>80</v>
      </c>
      <c r="H13" s="9">
        <v>40</v>
      </c>
      <c r="I13" s="9" t="s">
        <v>73</v>
      </c>
      <c r="J13" s="9" t="s">
        <v>73</v>
      </c>
      <c r="K13" s="9" t="s">
        <v>73</v>
      </c>
      <c r="L13" s="8">
        <v>7500</v>
      </c>
      <c r="M13" s="6" t="s">
        <v>157</v>
      </c>
    </row>
    <row r="14" spans="1:13" ht="90" x14ac:dyDescent="0.25">
      <c r="A14" s="8" t="s">
        <v>57</v>
      </c>
      <c r="B14" s="9">
        <v>10</v>
      </c>
      <c r="C14" s="8" t="s">
        <v>58</v>
      </c>
      <c r="D14" s="8" t="s">
        <v>59</v>
      </c>
      <c r="E14" s="9">
        <v>35</v>
      </c>
      <c r="F14" s="9"/>
      <c r="G14" s="9">
        <v>85</v>
      </c>
      <c r="H14" s="9">
        <v>55</v>
      </c>
      <c r="I14" s="9" t="s">
        <v>73</v>
      </c>
      <c r="J14" s="9" t="s">
        <v>73</v>
      </c>
      <c r="K14" s="9">
        <v>5</v>
      </c>
      <c r="L14" s="8">
        <v>2500</v>
      </c>
      <c r="M14" s="6" t="s">
        <v>159</v>
      </c>
    </row>
    <row r="15" spans="1:13" ht="90" x14ac:dyDescent="0.25">
      <c r="A15" s="8" t="s">
        <v>60</v>
      </c>
      <c r="B15" s="9">
        <v>10</v>
      </c>
      <c r="C15" s="8" t="s">
        <v>61</v>
      </c>
      <c r="D15" s="8"/>
      <c r="E15" s="9">
        <v>20</v>
      </c>
      <c r="F15" s="9"/>
      <c r="G15" s="9">
        <v>100</v>
      </c>
      <c r="H15" s="9" t="s">
        <v>66</v>
      </c>
      <c r="I15" s="9" t="s">
        <v>73</v>
      </c>
      <c r="J15" s="9" t="s">
        <v>73</v>
      </c>
      <c r="K15" s="9" t="s">
        <v>73</v>
      </c>
      <c r="L15" s="8">
        <v>10000</v>
      </c>
      <c r="M15" s="6" t="s">
        <v>160</v>
      </c>
    </row>
  </sheetData>
  <mergeCells count="10">
    <mergeCell ref="L1:L2"/>
    <mergeCell ref="I1:K1"/>
    <mergeCell ref="A1:A2"/>
    <mergeCell ref="B1:B2"/>
    <mergeCell ref="C1:C2"/>
    <mergeCell ref="D1:D2"/>
    <mergeCell ref="E1:E2"/>
    <mergeCell ref="G1:G2"/>
    <mergeCell ref="H1:H2"/>
    <mergeCell ref="F1:F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FB88A-3A8C-432E-97D2-095EBF9E10AB}">
  <dimension ref="A1:K16"/>
  <sheetViews>
    <sheetView workbookViewId="0">
      <selection activeCell="P16" sqref="P16"/>
    </sheetView>
  </sheetViews>
  <sheetFormatPr defaultRowHeight="15.75" x14ac:dyDescent="0.25"/>
  <cols>
    <col min="1" max="1" width="23.42578125" style="14" customWidth="1"/>
    <col min="2" max="11" width="9" style="14" customWidth="1"/>
    <col min="12" max="16384" width="9.140625" style="14"/>
  </cols>
  <sheetData>
    <row r="1" spans="1:11" s="12" customFormat="1" x14ac:dyDescent="0.25">
      <c r="A1" s="11" t="s">
        <v>77</v>
      </c>
      <c r="B1" s="11">
        <v>1</v>
      </c>
      <c r="C1" s="11">
        <v>2</v>
      </c>
      <c r="D1" s="11">
        <v>3</v>
      </c>
      <c r="E1" s="11">
        <v>4</v>
      </c>
      <c r="F1" s="11">
        <v>5</v>
      </c>
      <c r="G1" s="11">
        <v>6</v>
      </c>
      <c r="H1" s="11">
        <v>7</v>
      </c>
      <c r="I1" s="11">
        <v>8</v>
      </c>
      <c r="J1" s="11">
        <v>9</v>
      </c>
      <c r="K1" s="11">
        <v>10</v>
      </c>
    </row>
    <row r="2" spans="1:11" x14ac:dyDescent="0.25">
      <c r="A2" s="13" t="s">
        <v>173</v>
      </c>
      <c r="B2" s="13">
        <v>0</v>
      </c>
      <c r="C2" s="13"/>
      <c r="D2" s="13"/>
      <c r="E2" s="13"/>
      <c r="F2" s="13"/>
      <c r="G2" s="13"/>
      <c r="H2" s="13"/>
      <c r="I2" s="13"/>
      <c r="J2" s="13"/>
      <c r="K2" s="13"/>
    </row>
    <row r="3" spans="1:11" x14ac:dyDescent="0.25">
      <c r="A3" s="13" t="s">
        <v>26</v>
      </c>
      <c r="B3" s="13">
        <v>40</v>
      </c>
      <c r="C3" s="13">
        <v>40</v>
      </c>
      <c r="D3" s="13">
        <v>40</v>
      </c>
      <c r="E3" s="13">
        <v>45</v>
      </c>
      <c r="F3" s="13">
        <v>45</v>
      </c>
      <c r="G3" s="13">
        <v>50</v>
      </c>
      <c r="H3" s="13">
        <v>50</v>
      </c>
      <c r="I3" s="13">
        <v>55</v>
      </c>
      <c r="J3" s="13">
        <v>55</v>
      </c>
      <c r="K3" s="13">
        <v>60</v>
      </c>
    </row>
    <row r="4" spans="1:11" x14ac:dyDescent="0.25">
      <c r="A4" s="13" t="s">
        <v>129</v>
      </c>
      <c r="B4" s="13">
        <v>150</v>
      </c>
      <c r="C4" s="13">
        <v>155</v>
      </c>
      <c r="D4" s="13">
        <v>160</v>
      </c>
      <c r="E4" s="13">
        <v>160</v>
      </c>
      <c r="F4" s="13">
        <v>165</v>
      </c>
      <c r="G4" s="13">
        <v>165</v>
      </c>
      <c r="H4" s="13">
        <v>170</v>
      </c>
      <c r="I4" s="13">
        <v>170</v>
      </c>
      <c r="J4" s="13">
        <v>175</v>
      </c>
      <c r="K4" s="13">
        <v>180</v>
      </c>
    </row>
    <row r="5" spans="1:11" x14ac:dyDescent="0.25">
      <c r="A5" s="13" t="s">
        <v>131</v>
      </c>
      <c r="B5" s="13">
        <v>10</v>
      </c>
      <c r="C5" s="13">
        <v>20</v>
      </c>
      <c r="D5" s="13">
        <v>30</v>
      </c>
      <c r="E5" s="13">
        <v>40</v>
      </c>
      <c r="F5" s="13">
        <v>50</v>
      </c>
      <c r="G5" s="13">
        <v>60</v>
      </c>
      <c r="H5" s="13">
        <v>70</v>
      </c>
      <c r="I5" s="13">
        <v>80</v>
      </c>
      <c r="J5" s="13">
        <v>90</v>
      </c>
      <c r="K5" s="13">
        <v>100</v>
      </c>
    </row>
    <row r="6" spans="1:11" ht="31.5" x14ac:dyDescent="0.25">
      <c r="A6" s="13" t="s">
        <v>130</v>
      </c>
      <c r="B6" s="13">
        <v>1</v>
      </c>
      <c r="C6" s="13">
        <v>1</v>
      </c>
      <c r="D6" s="13">
        <v>2</v>
      </c>
      <c r="E6" s="13">
        <v>2</v>
      </c>
      <c r="F6" s="13">
        <v>3</v>
      </c>
      <c r="G6" s="13">
        <v>3</v>
      </c>
      <c r="H6" s="13">
        <v>4</v>
      </c>
      <c r="I6" s="13">
        <v>4</v>
      </c>
      <c r="J6" s="13">
        <v>5</v>
      </c>
      <c r="K6" s="13">
        <v>5</v>
      </c>
    </row>
    <row r="7" spans="1:11" x14ac:dyDescent="0.25">
      <c r="A7" s="13" t="s">
        <v>132</v>
      </c>
      <c r="B7" s="13">
        <v>50</v>
      </c>
      <c r="C7" s="13">
        <v>55</v>
      </c>
      <c r="D7" s="13">
        <v>60</v>
      </c>
      <c r="E7" s="13">
        <v>65</v>
      </c>
      <c r="F7" s="13">
        <v>70</v>
      </c>
      <c r="G7" s="13">
        <v>75</v>
      </c>
      <c r="H7" s="13">
        <v>80</v>
      </c>
      <c r="I7" s="13">
        <v>85</v>
      </c>
      <c r="J7" s="13">
        <v>90</v>
      </c>
      <c r="K7" s="13">
        <v>95</v>
      </c>
    </row>
    <row r="8" spans="1:11" ht="31.5" x14ac:dyDescent="0.25">
      <c r="A8" s="13" t="s">
        <v>133</v>
      </c>
      <c r="B8" s="13">
        <v>2</v>
      </c>
      <c r="C8" s="13">
        <v>2</v>
      </c>
      <c r="D8" s="13">
        <v>2</v>
      </c>
      <c r="E8" s="13">
        <v>3</v>
      </c>
      <c r="F8" s="13">
        <v>3</v>
      </c>
      <c r="G8" s="13">
        <v>3</v>
      </c>
      <c r="H8" s="13">
        <v>4</v>
      </c>
      <c r="I8" s="13">
        <v>4</v>
      </c>
      <c r="J8" s="13">
        <v>4</v>
      </c>
      <c r="K8" s="13">
        <v>5</v>
      </c>
    </row>
    <row r="9" spans="1:11" ht="31.5" x14ac:dyDescent="0.25">
      <c r="A9" s="13" t="s">
        <v>123</v>
      </c>
      <c r="B9" s="13">
        <v>0.5</v>
      </c>
      <c r="C9" s="13">
        <v>0.5</v>
      </c>
      <c r="D9" s="13">
        <v>0.45</v>
      </c>
      <c r="E9" s="13">
        <v>0.45</v>
      </c>
      <c r="F9" s="13">
        <v>0.4</v>
      </c>
      <c r="G9" s="13">
        <v>0.4</v>
      </c>
      <c r="H9" s="13">
        <v>0.35</v>
      </c>
      <c r="I9" s="13">
        <v>0.3</v>
      </c>
      <c r="J9" s="13">
        <v>0.25</v>
      </c>
      <c r="K9" s="13">
        <v>0.2</v>
      </c>
    </row>
    <row r="10" spans="1:11" ht="31.5" x14ac:dyDescent="0.25">
      <c r="A10" s="13" t="s">
        <v>134</v>
      </c>
      <c r="B10" s="13">
        <v>0.55000000000000004</v>
      </c>
      <c r="C10" s="13">
        <v>0.55000000000000004</v>
      </c>
      <c r="D10" s="13">
        <v>0.6</v>
      </c>
      <c r="E10" s="13">
        <v>0.6</v>
      </c>
      <c r="F10" s="13">
        <v>0.65</v>
      </c>
      <c r="G10" s="13">
        <v>0.65</v>
      </c>
      <c r="H10" s="13">
        <v>0.7</v>
      </c>
      <c r="I10" s="13">
        <v>0.7</v>
      </c>
      <c r="J10" s="13">
        <v>0.8</v>
      </c>
      <c r="K10" s="13">
        <v>0.9</v>
      </c>
    </row>
    <row r="11" spans="1:11" ht="31.5" x14ac:dyDescent="0.25">
      <c r="A11" s="13" t="s">
        <v>124</v>
      </c>
      <c r="B11" s="13">
        <v>20</v>
      </c>
      <c r="C11" s="13">
        <v>20</v>
      </c>
      <c r="D11" s="13">
        <v>25</v>
      </c>
      <c r="E11" s="13">
        <v>25</v>
      </c>
      <c r="F11" s="13">
        <v>30</v>
      </c>
      <c r="G11" s="13">
        <v>30</v>
      </c>
      <c r="H11" s="13">
        <v>35</v>
      </c>
      <c r="I11" s="13">
        <v>40</v>
      </c>
      <c r="J11" s="13">
        <v>45</v>
      </c>
      <c r="K11" s="13">
        <v>50</v>
      </c>
    </row>
    <row r="12" spans="1:11" ht="31.5" x14ac:dyDescent="0.25">
      <c r="A12" s="13" t="s">
        <v>125</v>
      </c>
      <c r="B12" s="13">
        <v>2</v>
      </c>
      <c r="C12" s="13">
        <v>2</v>
      </c>
      <c r="D12" s="13">
        <v>2</v>
      </c>
      <c r="E12" s="13">
        <v>2</v>
      </c>
      <c r="F12" s="13">
        <v>2</v>
      </c>
      <c r="G12" s="13">
        <v>2</v>
      </c>
      <c r="H12" s="13">
        <v>4</v>
      </c>
      <c r="I12" s="13">
        <v>4</v>
      </c>
      <c r="J12" s="13">
        <v>4</v>
      </c>
      <c r="K12" s="13">
        <v>4</v>
      </c>
    </row>
    <row r="13" spans="1:11" ht="31.5" x14ac:dyDescent="0.25">
      <c r="A13" s="13" t="s">
        <v>126</v>
      </c>
      <c r="B13" s="13">
        <v>1.5</v>
      </c>
      <c r="C13" s="13">
        <v>1.5</v>
      </c>
      <c r="D13" s="13">
        <v>1.25</v>
      </c>
      <c r="E13" s="13">
        <v>1.25</v>
      </c>
      <c r="F13" s="13">
        <v>1.1499999999999999</v>
      </c>
      <c r="G13" s="13">
        <v>1.1499999999999999</v>
      </c>
      <c r="H13" s="13">
        <v>1</v>
      </c>
      <c r="I13" s="13">
        <v>1</v>
      </c>
      <c r="J13" s="13">
        <v>0.8</v>
      </c>
      <c r="K13" s="13">
        <v>0.75</v>
      </c>
    </row>
    <row r="14" spans="1:11" ht="31.5" x14ac:dyDescent="0.25">
      <c r="A14" s="13" t="s">
        <v>135</v>
      </c>
      <c r="B14" s="13">
        <v>0.25</v>
      </c>
      <c r="C14" s="13">
        <v>0.25</v>
      </c>
      <c r="D14" s="13">
        <v>0.35</v>
      </c>
      <c r="E14" s="13">
        <v>0.35</v>
      </c>
      <c r="F14" s="13">
        <v>0.5</v>
      </c>
      <c r="G14" s="13">
        <v>0.5</v>
      </c>
      <c r="H14" s="13">
        <v>0.55000000000000004</v>
      </c>
      <c r="I14" s="13">
        <v>0.55000000000000004</v>
      </c>
      <c r="J14" s="13">
        <v>0.6</v>
      </c>
      <c r="K14" s="13">
        <v>0.65</v>
      </c>
    </row>
    <row r="15" spans="1:11" ht="31.5" x14ac:dyDescent="0.25">
      <c r="A15" s="13" t="s">
        <v>127</v>
      </c>
      <c r="B15" s="13">
        <v>4</v>
      </c>
      <c r="C15" s="13">
        <v>4</v>
      </c>
      <c r="D15" s="13">
        <v>5</v>
      </c>
      <c r="E15" s="13">
        <v>5</v>
      </c>
      <c r="F15" s="13">
        <v>6</v>
      </c>
      <c r="G15" s="13">
        <v>6</v>
      </c>
      <c r="H15" s="13">
        <v>7</v>
      </c>
      <c r="I15" s="13">
        <v>8</v>
      </c>
      <c r="J15" s="13">
        <v>9</v>
      </c>
      <c r="K15" s="13">
        <v>10</v>
      </c>
    </row>
    <row r="16" spans="1:11" ht="31.5" x14ac:dyDescent="0.25">
      <c r="A16" s="13" t="s">
        <v>128</v>
      </c>
      <c r="B16" s="13">
        <v>1</v>
      </c>
      <c r="C16" s="13">
        <v>1</v>
      </c>
      <c r="D16" s="13">
        <v>1</v>
      </c>
      <c r="E16" s="13">
        <v>1</v>
      </c>
      <c r="F16" s="13">
        <v>1</v>
      </c>
      <c r="G16" s="13">
        <v>3</v>
      </c>
      <c r="H16" s="13">
        <v>3</v>
      </c>
      <c r="I16" s="13">
        <v>3</v>
      </c>
      <c r="J16" s="13">
        <v>3</v>
      </c>
      <c r="K16" s="13">
        <v>3</v>
      </c>
    </row>
  </sheetData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B2563-D366-4A61-8C3D-232F82A5FDF6}">
  <dimension ref="A1:H25"/>
  <sheetViews>
    <sheetView tabSelected="1" workbookViewId="0">
      <selection activeCell="J18" sqref="J18"/>
    </sheetView>
  </sheetViews>
  <sheetFormatPr defaultRowHeight="15" x14ac:dyDescent="0.25"/>
  <cols>
    <col min="1" max="1" width="9.140625" style="6"/>
    <col min="2" max="2" width="11.140625" style="6" customWidth="1"/>
    <col min="3" max="4" width="9.140625" style="6"/>
    <col min="5" max="6" width="11.5703125" style="6" customWidth="1"/>
    <col min="7" max="7" width="16.85546875" style="6" customWidth="1"/>
    <col min="8" max="8" width="13.5703125" style="6" customWidth="1"/>
    <col min="9" max="9" width="12.28515625" style="6" customWidth="1"/>
    <col min="10" max="16384" width="9.140625" style="6"/>
  </cols>
  <sheetData>
    <row r="1" spans="1:8" s="7" customFormat="1" ht="15" customHeight="1" x14ac:dyDescent="0.25">
      <c r="A1" s="16" t="s">
        <v>122</v>
      </c>
      <c r="B1" s="16"/>
      <c r="C1" s="16"/>
      <c r="D1" s="16"/>
      <c r="E1" s="16"/>
      <c r="F1" s="16"/>
      <c r="G1" s="16"/>
      <c r="H1" s="6"/>
    </row>
    <row r="2" spans="1:8" s="7" customFormat="1" ht="30" x14ac:dyDescent="0.25">
      <c r="A2" s="9" t="s">
        <v>77</v>
      </c>
      <c r="B2" s="9" t="s">
        <v>78</v>
      </c>
      <c r="C2" s="9" t="s">
        <v>26</v>
      </c>
      <c r="D2" s="9" t="s">
        <v>79</v>
      </c>
      <c r="E2" s="9" t="s">
        <v>80</v>
      </c>
      <c r="F2" s="9" t="s">
        <v>172</v>
      </c>
      <c r="G2" s="9" t="s">
        <v>81</v>
      </c>
    </row>
    <row r="3" spans="1:8" s="7" customFormat="1" x14ac:dyDescent="0.25">
      <c r="A3" s="9">
        <v>1</v>
      </c>
      <c r="B3" s="9" t="s">
        <v>144</v>
      </c>
      <c r="C3" s="9">
        <v>80</v>
      </c>
      <c r="D3" s="9">
        <v>0</v>
      </c>
      <c r="E3" s="9">
        <v>25</v>
      </c>
      <c r="F3" s="9"/>
      <c r="G3" s="9" t="s">
        <v>121</v>
      </c>
    </row>
    <row r="4" spans="1:8" s="7" customFormat="1" x14ac:dyDescent="0.25">
      <c r="A4" s="9">
        <v>2</v>
      </c>
      <c r="B4" s="9" t="s">
        <v>145</v>
      </c>
      <c r="C4" s="9">
        <v>80</v>
      </c>
      <c r="D4" s="9">
        <v>0</v>
      </c>
      <c r="E4" s="9">
        <v>30</v>
      </c>
      <c r="F4" s="9"/>
      <c r="G4" s="9" t="s">
        <v>121</v>
      </c>
    </row>
    <row r="5" spans="1:8" s="7" customFormat="1" x14ac:dyDescent="0.25">
      <c r="A5" s="9">
        <v>3</v>
      </c>
      <c r="B5" s="9" t="s">
        <v>146</v>
      </c>
      <c r="C5" s="9">
        <v>90</v>
      </c>
      <c r="D5" s="9">
        <v>0</v>
      </c>
      <c r="E5" s="9">
        <v>35</v>
      </c>
      <c r="F5" s="9"/>
      <c r="G5" s="9" t="s">
        <v>121</v>
      </c>
    </row>
    <row r="6" spans="1:8" s="7" customFormat="1" x14ac:dyDescent="0.25">
      <c r="A6" s="9">
        <v>4</v>
      </c>
      <c r="B6" s="9" t="s">
        <v>147</v>
      </c>
      <c r="C6" s="9">
        <v>80</v>
      </c>
      <c r="D6" s="9">
        <v>0</v>
      </c>
      <c r="E6" s="9">
        <v>40</v>
      </c>
      <c r="F6" s="9"/>
      <c r="G6" s="9" t="s">
        <v>121</v>
      </c>
    </row>
    <row r="7" spans="1:8" s="7" customFormat="1" x14ac:dyDescent="0.25">
      <c r="A7" s="9">
        <v>5</v>
      </c>
      <c r="B7" s="9" t="s">
        <v>141</v>
      </c>
      <c r="C7" s="9">
        <v>90</v>
      </c>
      <c r="D7" s="9">
        <v>120</v>
      </c>
      <c r="E7" s="9">
        <v>45</v>
      </c>
      <c r="F7" s="9"/>
      <c r="G7" s="9" t="s">
        <v>119</v>
      </c>
    </row>
    <row r="8" spans="1:8" s="7" customFormat="1" x14ac:dyDescent="0.25">
      <c r="A8" s="9">
        <v>6</v>
      </c>
      <c r="B8" s="9" t="s">
        <v>142</v>
      </c>
      <c r="C8" s="9">
        <v>80</v>
      </c>
      <c r="D8" s="9">
        <v>130</v>
      </c>
      <c r="E8" s="9">
        <v>55</v>
      </c>
      <c r="F8" s="9"/>
      <c r="G8" s="9" t="s">
        <v>119</v>
      </c>
    </row>
    <row r="9" spans="1:8" s="7" customFormat="1" x14ac:dyDescent="0.25">
      <c r="A9" s="9">
        <v>7</v>
      </c>
      <c r="B9" s="9" t="s">
        <v>143</v>
      </c>
      <c r="C9" s="9">
        <v>90</v>
      </c>
      <c r="D9" s="9">
        <v>140</v>
      </c>
      <c r="E9" s="9">
        <v>65</v>
      </c>
      <c r="F9" s="9"/>
      <c r="G9" s="9" t="s">
        <v>119</v>
      </c>
    </row>
    <row r="10" spans="1:8" s="7" customFormat="1" x14ac:dyDescent="0.25">
      <c r="A10" s="9">
        <v>8</v>
      </c>
      <c r="B10" s="9" t="s">
        <v>138</v>
      </c>
      <c r="C10" s="9">
        <v>80</v>
      </c>
      <c r="D10" s="9">
        <v>120</v>
      </c>
      <c r="E10" s="9">
        <v>75</v>
      </c>
      <c r="F10" s="9"/>
      <c r="G10" s="9" t="s">
        <v>137</v>
      </c>
    </row>
    <row r="11" spans="1:8" s="7" customFormat="1" x14ac:dyDescent="0.25">
      <c r="A11" s="9">
        <v>9</v>
      </c>
      <c r="B11" s="9" t="s">
        <v>139</v>
      </c>
      <c r="C11" s="9">
        <v>90</v>
      </c>
      <c r="D11" s="9">
        <v>140</v>
      </c>
      <c r="E11" s="9">
        <v>85</v>
      </c>
      <c r="F11" s="9"/>
      <c r="G11" s="9" t="s">
        <v>137</v>
      </c>
    </row>
    <row r="12" spans="1:8" s="7" customFormat="1" x14ac:dyDescent="0.25">
      <c r="A12" s="9">
        <v>10</v>
      </c>
      <c r="B12" s="9" t="s">
        <v>140</v>
      </c>
      <c r="C12" s="9">
        <v>100</v>
      </c>
      <c r="D12" s="9">
        <v>160</v>
      </c>
      <c r="E12" s="9">
        <v>100</v>
      </c>
      <c r="F12" s="9"/>
      <c r="G12" s="9" t="s">
        <v>137</v>
      </c>
    </row>
    <row r="13" spans="1:8" s="7" customFormat="1" x14ac:dyDescent="0.25"/>
    <row r="14" spans="1:8" s="7" customFormat="1" ht="15" customHeight="1" x14ac:dyDescent="0.25">
      <c r="A14" s="16" t="s">
        <v>120</v>
      </c>
      <c r="B14" s="16"/>
      <c r="C14" s="16"/>
      <c r="D14" s="16"/>
      <c r="E14" s="16"/>
      <c r="F14" s="16"/>
      <c r="G14" s="16"/>
      <c r="H14" s="6"/>
    </row>
    <row r="15" spans="1:8" s="7" customFormat="1" ht="30" x14ac:dyDescent="0.25">
      <c r="A15" s="9" t="s">
        <v>77</v>
      </c>
      <c r="B15" s="9" t="s">
        <v>78</v>
      </c>
      <c r="C15" s="9" t="s">
        <v>26</v>
      </c>
      <c r="D15" s="9" t="s">
        <v>79</v>
      </c>
      <c r="E15" s="9" t="s">
        <v>80</v>
      </c>
      <c r="F15" s="9" t="s">
        <v>172</v>
      </c>
      <c r="G15" s="9" t="s">
        <v>81</v>
      </c>
    </row>
    <row r="16" spans="1:8" s="7" customFormat="1" ht="30" x14ac:dyDescent="0.25">
      <c r="A16" s="9">
        <v>1</v>
      </c>
      <c r="B16" s="9" t="s">
        <v>174</v>
      </c>
      <c r="C16" s="9">
        <v>65</v>
      </c>
      <c r="D16" s="9">
        <v>0</v>
      </c>
      <c r="E16" s="9">
        <v>25</v>
      </c>
      <c r="F16" s="9"/>
      <c r="G16" s="9" t="s">
        <v>121</v>
      </c>
    </row>
    <row r="17" spans="1:7" s="7" customFormat="1" ht="30" x14ac:dyDescent="0.25">
      <c r="A17" s="9">
        <v>2</v>
      </c>
      <c r="B17" s="9" t="s">
        <v>82</v>
      </c>
      <c r="C17" s="9">
        <v>65</v>
      </c>
      <c r="D17" s="9">
        <v>0</v>
      </c>
      <c r="E17" s="9">
        <v>30</v>
      </c>
      <c r="F17" s="9"/>
      <c r="G17" s="9" t="s">
        <v>119</v>
      </c>
    </row>
    <row r="18" spans="1:7" s="7" customFormat="1" ht="30" x14ac:dyDescent="0.25">
      <c r="A18" s="9">
        <v>3</v>
      </c>
      <c r="B18" s="9" t="s">
        <v>87</v>
      </c>
      <c r="C18" s="9">
        <v>70</v>
      </c>
      <c r="D18" s="9">
        <v>0</v>
      </c>
      <c r="E18" s="9">
        <v>35</v>
      </c>
      <c r="F18" s="9"/>
      <c r="G18" s="9" t="s">
        <v>119</v>
      </c>
    </row>
    <row r="19" spans="1:7" s="7" customFormat="1" x14ac:dyDescent="0.25">
      <c r="A19" s="9">
        <v>4</v>
      </c>
      <c r="B19" s="9" t="s">
        <v>83</v>
      </c>
      <c r="C19" s="9">
        <v>65</v>
      </c>
      <c r="D19" s="9">
        <v>120</v>
      </c>
      <c r="E19" s="9">
        <v>40</v>
      </c>
      <c r="F19" s="9"/>
      <c r="G19" s="9" t="s">
        <v>119</v>
      </c>
    </row>
    <row r="20" spans="1:7" s="7" customFormat="1" x14ac:dyDescent="0.25">
      <c r="A20" s="9">
        <v>5</v>
      </c>
      <c r="B20" s="9" t="s">
        <v>84</v>
      </c>
      <c r="C20" s="9">
        <v>65</v>
      </c>
      <c r="D20" s="9">
        <v>140</v>
      </c>
      <c r="E20" s="9">
        <v>45</v>
      </c>
      <c r="F20" s="9"/>
      <c r="G20" s="9" t="s">
        <v>119</v>
      </c>
    </row>
    <row r="21" spans="1:7" s="7" customFormat="1" ht="30" x14ac:dyDescent="0.25">
      <c r="A21" s="9">
        <v>6</v>
      </c>
      <c r="B21" s="9" t="s">
        <v>85</v>
      </c>
      <c r="C21" s="9">
        <v>70</v>
      </c>
      <c r="D21" s="9">
        <v>120</v>
      </c>
      <c r="E21" s="9">
        <v>55</v>
      </c>
      <c r="F21" s="9"/>
      <c r="G21" s="9" t="s">
        <v>136</v>
      </c>
    </row>
    <row r="22" spans="1:7" s="7" customFormat="1" ht="30" x14ac:dyDescent="0.25">
      <c r="A22" s="9">
        <v>7</v>
      </c>
      <c r="B22" s="9" t="s">
        <v>86</v>
      </c>
      <c r="C22" s="9">
        <v>75</v>
      </c>
      <c r="D22" s="9">
        <v>120</v>
      </c>
      <c r="E22" s="9">
        <v>65</v>
      </c>
      <c r="F22" s="9"/>
      <c r="G22" s="9" t="s">
        <v>136</v>
      </c>
    </row>
    <row r="23" spans="1:7" s="7" customFormat="1" x14ac:dyDescent="0.25">
      <c r="A23" s="9">
        <v>8</v>
      </c>
      <c r="B23" s="9" t="s">
        <v>88</v>
      </c>
      <c r="C23" s="9">
        <v>85</v>
      </c>
      <c r="D23" s="9">
        <v>150</v>
      </c>
      <c r="E23" s="9">
        <v>75</v>
      </c>
      <c r="F23" s="9"/>
      <c r="G23" s="9" t="s">
        <v>137</v>
      </c>
    </row>
    <row r="24" spans="1:7" s="7" customFormat="1" x14ac:dyDescent="0.25">
      <c r="A24" s="9">
        <v>9</v>
      </c>
      <c r="B24" s="9" t="s">
        <v>89</v>
      </c>
      <c r="C24" s="9">
        <v>80</v>
      </c>
      <c r="D24" s="9">
        <v>170</v>
      </c>
      <c r="E24" s="9">
        <v>85</v>
      </c>
      <c r="F24" s="9"/>
      <c r="G24" s="9" t="s">
        <v>137</v>
      </c>
    </row>
    <row r="25" spans="1:7" s="7" customFormat="1" ht="45" x14ac:dyDescent="0.25">
      <c r="A25" s="9">
        <v>10</v>
      </c>
      <c r="B25" s="9" t="s">
        <v>90</v>
      </c>
      <c r="C25" s="9">
        <v>90</v>
      </c>
      <c r="D25" s="9">
        <v>180</v>
      </c>
      <c r="E25" s="9">
        <v>100</v>
      </c>
      <c r="F25" s="9"/>
      <c r="G25" s="9" t="s">
        <v>91</v>
      </c>
    </row>
  </sheetData>
  <mergeCells count="2">
    <mergeCell ref="A1:G1"/>
    <mergeCell ref="A14:G1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921E0-5401-4405-8667-712DBF5784AB}">
  <dimension ref="A1:I14"/>
  <sheetViews>
    <sheetView workbookViewId="0">
      <selection activeCell="H11" sqref="H11"/>
    </sheetView>
  </sheetViews>
  <sheetFormatPr defaultRowHeight="15" x14ac:dyDescent="0.25"/>
  <cols>
    <col min="1" max="1" width="12.28515625" style="7" customWidth="1"/>
    <col min="2" max="5" width="9.140625" style="7"/>
    <col min="6" max="6" width="7.7109375" style="7" customWidth="1"/>
    <col min="7" max="7" width="34.140625" style="7" customWidth="1"/>
    <col min="8" max="8" width="16.5703125" style="7" customWidth="1"/>
    <col min="9" max="9" width="11.42578125" style="7" customWidth="1"/>
    <col min="10" max="16384" width="9.140625" style="7"/>
  </cols>
  <sheetData>
    <row r="1" spans="1:9" ht="30" x14ac:dyDescent="0.25">
      <c r="A1" s="9" t="s">
        <v>78</v>
      </c>
      <c r="B1" s="9" t="s">
        <v>92</v>
      </c>
      <c r="C1" s="9" t="s">
        <v>93</v>
      </c>
      <c r="D1" s="9" t="s">
        <v>94</v>
      </c>
      <c r="E1" s="9" t="s">
        <v>95</v>
      </c>
      <c r="F1" s="9" t="s">
        <v>110</v>
      </c>
      <c r="G1" s="9" t="s">
        <v>81</v>
      </c>
    </row>
    <row r="2" spans="1:9" ht="60" x14ac:dyDescent="0.25">
      <c r="A2" s="9" t="s">
        <v>96</v>
      </c>
      <c r="B2" s="9">
        <v>40</v>
      </c>
      <c r="C2" s="9">
        <v>40</v>
      </c>
      <c r="D2" s="9">
        <v>40</v>
      </c>
      <c r="E2" s="9">
        <v>20</v>
      </c>
      <c r="F2" s="9">
        <v>5</v>
      </c>
      <c r="G2" s="9" t="s">
        <v>97</v>
      </c>
      <c r="H2" s="7" t="s">
        <v>161</v>
      </c>
      <c r="I2" s="7" t="s">
        <v>169</v>
      </c>
    </row>
    <row r="3" spans="1:9" ht="30" x14ac:dyDescent="0.25">
      <c r="A3" s="9" t="s">
        <v>98</v>
      </c>
      <c r="B3" s="9">
        <v>10</v>
      </c>
      <c r="C3" s="9">
        <v>10</v>
      </c>
      <c r="D3" s="9">
        <v>10</v>
      </c>
      <c r="E3" s="9">
        <v>50</v>
      </c>
      <c r="F3" s="9">
        <v>150</v>
      </c>
      <c r="G3" s="9" t="s">
        <v>97</v>
      </c>
      <c r="H3" s="7" t="s">
        <v>162</v>
      </c>
    </row>
    <row r="4" spans="1:9" x14ac:dyDescent="0.25">
      <c r="A4" s="9" t="s">
        <v>117</v>
      </c>
      <c r="B4" s="9">
        <v>10</v>
      </c>
      <c r="C4" s="9">
        <v>20</v>
      </c>
      <c r="D4" s="9">
        <v>30</v>
      </c>
      <c r="E4" s="9">
        <v>5</v>
      </c>
      <c r="F4" s="9">
        <v>10</v>
      </c>
      <c r="G4" s="9" t="s">
        <v>118</v>
      </c>
      <c r="H4" s="7" t="s">
        <v>164</v>
      </c>
    </row>
    <row r="5" spans="1:9" ht="30" x14ac:dyDescent="0.25">
      <c r="A5" s="9" t="s">
        <v>99</v>
      </c>
      <c r="B5" s="9">
        <v>10</v>
      </c>
      <c r="C5" s="9">
        <v>20</v>
      </c>
      <c r="D5" s="9">
        <v>30</v>
      </c>
      <c r="E5" s="9" t="s">
        <v>73</v>
      </c>
      <c r="F5" s="9" t="s">
        <v>73</v>
      </c>
      <c r="G5" s="9" t="s">
        <v>104</v>
      </c>
      <c r="H5" s="7" t="s">
        <v>163</v>
      </c>
    </row>
    <row r="6" spans="1:9" ht="30" x14ac:dyDescent="0.25">
      <c r="A6" s="9" t="s">
        <v>101</v>
      </c>
      <c r="B6" s="9">
        <v>10</v>
      </c>
      <c r="C6" s="9">
        <v>20</v>
      </c>
      <c r="D6" s="9">
        <v>30</v>
      </c>
      <c r="E6" s="9" t="s">
        <v>73</v>
      </c>
      <c r="F6" s="9" t="s">
        <v>73</v>
      </c>
      <c r="G6" s="9" t="s">
        <v>100</v>
      </c>
    </row>
    <row r="7" spans="1:9" ht="30" x14ac:dyDescent="0.25">
      <c r="A7" s="9" t="s">
        <v>102</v>
      </c>
      <c r="B7" s="9">
        <v>5</v>
      </c>
      <c r="C7" s="9">
        <v>5</v>
      </c>
      <c r="D7" s="9">
        <v>5</v>
      </c>
      <c r="E7" s="9" t="s">
        <v>73</v>
      </c>
      <c r="F7" s="9" t="s">
        <v>73</v>
      </c>
      <c r="G7" s="9" t="s">
        <v>103</v>
      </c>
      <c r="H7" s="7" t="s">
        <v>165</v>
      </c>
    </row>
    <row r="8" spans="1:9" ht="30" x14ac:dyDescent="0.25">
      <c r="A8" s="9" t="s">
        <v>105</v>
      </c>
      <c r="B8" s="9">
        <v>20</v>
      </c>
      <c r="C8" s="9">
        <v>20</v>
      </c>
      <c r="D8" s="9">
        <v>20</v>
      </c>
      <c r="E8" s="9" t="s">
        <v>73</v>
      </c>
      <c r="F8" s="9" t="s">
        <v>73</v>
      </c>
      <c r="G8" s="9" t="s">
        <v>111</v>
      </c>
      <c r="H8" s="7" t="s">
        <v>170</v>
      </c>
    </row>
    <row r="9" spans="1:9" ht="30" x14ac:dyDescent="0.25">
      <c r="A9" s="9" t="s">
        <v>106</v>
      </c>
      <c r="B9" s="9">
        <v>5</v>
      </c>
      <c r="C9" s="9">
        <v>5</v>
      </c>
      <c r="D9" s="9">
        <v>5</v>
      </c>
      <c r="E9" s="9" t="s">
        <v>73</v>
      </c>
      <c r="F9" s="9" t="s">
        <v>73</v>
      </c>
      <c r="G9" s="9" t="s">
        <v>107</v>
      </c>
      <c r="H9" s="7" t="s">
        <v>168</v>
      </c>
    </row>
    <row r="10" spans="1:9" ht="45" x14ac:dyDescent="0.25">
      <c r="A10" s="9" t="s">
        <v>108</v>
      </c>
      <c r="B10" s="9">
        <v>5</v>
      </c>
      <c r="C10" s="9">
        <v>5</v>
      </c>
      <c r="D10" s="9">
        <v>10</v>
      </c>
      <c r="E10" s="9" t="s">
        <v>73</v>
      </c>
      <c r="F10" s="9" t="s">
        <v>73</v>
      </c>
      <c r="G10" s="9" t="s">
        <v>109</v>
      </c>
      <c r="H10" s="7" t="s">
        <v>171</v>
      </c>
    </row>
    <row r="11" spans="1:9" x14ac:dyDescent="0.25">
      <c r="A11" s="9" t="s">
        <v>112</v>
      </c>
      <c r="B11" s="9">
        <v>45</v>
      </c>
      <c r="C11" s="9">
        <v>40</v>
      </c>
      <c r="D11" s="9">
        <v>35</v>
      </c>
      <c r="E11" s="9" t="s">
        <v>73</v>
      </c>
      <c r="F11" s="9" t="s">
        <v>73</v>
      </c>
      <c r="G11" s="9" t="s">
        <v>114</v>
      </c>
      <c r="H11" s="7" t="s">
        <v>166</v>
      </c>
    </row>
    <row r="12" spans="1:9" x14ac:dyDescent="0.25">
      <c r="A12" s="9" t="s">
        <v>113</v>
      </c>
      <c r="B12" s="9">
        <v>40</v>
      </c>
      <c r="C12" s="9">
        <v>30</v>
      </c>
      <c r="D12" s="9">
        <v>20</v>
      </c>
      <c r="E12" s="9" t="s">
        <v>73</v>
      </c>
      <c r="F12" s="9" t="s">
        <v>73</v>
      </c>
      <c r="G12" s="9" t="s">
        <v>115</v>
      </c>
      <c r="H12" s="7" t="s">
        <v>167</v>
      </c>
    </row>
    <row r="14" spans="1:9" x14ac:dyDescent="0.25">
      <c r="A14" s="7" t="s">
        <v>116</v>
      </c>
      <c r="B14" s="7">
        <f>SUM(B2:B13)</f>
        <v>200</v>
      </c>
      <c r="C14" s="7">
        <f t="shared" ref="C14:D14" si="0">SUM(C2:C13)</f>
        <v>215</v>
      </c>
      <c r="D14" s="7">
        <f t="shared" si="0"/>
        <v>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Input Bindings</vt:lpstr>
      <vt:lpstr>Enemy Stats</vt:lpstr>
      <vt:lpstr>Player Stats</vt:lpstr>
      <vt:lpstr>Weapons</vt:lpstr>
      <vt:lpstr>Obstacles-Resupply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Killman</dc:creator>
  <cp:lastModifiedBy>Paul Killman</cp:lastModifiedBy>
  <dcterms:created xsi:type="dcterms:W3CDTF">2025-11-03T01:08:33Z</dcterms:created>
  <dcterms:modified xsi:type="dcterms:W3CDTF">2025-12-11T20:49:23Z</dcterms:modified>
</cp:coreProperties>
</file>